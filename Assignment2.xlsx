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_analytics_entry\module1-week2\"/>
    </mc:Choice>
  </mc:AlternateContent>
  <bookViews>
    <workbookView xWindow="0" yWindow="0" windowWidth="11510" windowHeight="44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B2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  <c r="F4" i="1"/>
  <c r="F5" i="1"/>
  <c r="F6" i="1"/>
  <c r="F7" i="1"/>
  <c r="F8" i="1"/>
  <c r="F9" i="1"/>
  <c r="F10" i="1"/>
  <c r="F2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J32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" i="1"/>
  <c r="J4" i="1"/>
  <c r="J5" i="1"/>
  <c r="J6" i="1"/>
  <c r="J7" i="1"/>
  <c r="J8" i="1"/>
  <c r="J2" i="1"/>
  <c r="I6" i="1"/>
  <c r="I13" i="1"/>
  <c r="I14" i="1"/>
  <c r="I24" i="1"/>
  <c r="G7" i="1"/>
  <c r="G21" i="1"/>
  <c r="G26" i="1"/>
</calcChain>
</file>

<file path=xl/sharedStrings.xml><?xml version="1.0" encoding="utf-8"?>
<sst xmlns="http://schemas.openxmlformats.org/spreadsheetml/2006/main" count="130" uniqueCount="100">
  <si>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</si>
  <si>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</si>
  <si>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</si>
  <si>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</si>
  <si>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</si>
  <si>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</si>
  <si>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</si>
  <si>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</si>
  <si>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</si>
  <si>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</si>
  <si>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</si>
  <si>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</si>
  <si>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</si>
  <si>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</si>
  <si>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</si>
  <si>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</si>
  <si>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</si>
  <si>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</si>
  <si>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</si>
  <si>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</si>
  <si>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</si>
  <si>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</si>
  <si>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</si>
  <si>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</si>
  <si>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</si>
  <si>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</si>
  <si>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</si>
  <si>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</si>
  <si>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</si>
  <si>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</si>
  <si>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</si>
  <si>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</si>
  <si>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</si>
  <si>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</si>
  <si>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</si>
  <si>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</si>
  <si>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</si>
  <si>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</si>
  <si>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</si>
  <si>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</si>
  <si>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</si>
  <si>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</si>
  <si>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</si>
  <si>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</si>
  <si>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</si>
  <si>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</si>
  <si>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</si>
  <si>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</si>
  <si>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</si>
  <si>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</si>
  <si>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</si>
  <si>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</si>
  <si>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</si>
  <si>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</si>
  <si>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</si>
  <si>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</si>
  <si>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</si>
  <si>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</si>
  <si>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</si>
  <si>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</si>
  <si>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</si>
  <si>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</si>
  <si>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</si>
  <si>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</si>
  <si>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</si>
  <si>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</si>
  <si>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</si>
  <si>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</si>
  <si>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</si>
  <si>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</si>
  <si>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</si>
  <si>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</si>
  <si>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</si>
  <si>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</si>
  <si>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</si>
  <si>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</si>
  <si>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</si>
  <si>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</si>
  <si>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</si>
  <si>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</si>
  <si>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</si>
  <si>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</si>
  <si>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</si>
  <si>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</si>
  <si>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</si>
  <si>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</si>
  <si>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</si>
  <si>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</si>
  <si>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</si>
  <si>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</si>
  <si>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</si>
  <si>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</si>
  <si>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</si>
  <si>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</si>
  <si>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</si>
  <si>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</si>
  <si>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name-Corrected</t>
  </si>
  <si>
    <t xml:space="preserve"> Manufacturing Date 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</si>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</sst>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&quot;₹&quot;\ #,##0.00"/>
    <numFmt numFmtId="169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center" wrapText="1"/>
    </xf>
    <xf numFmtId="168" fontId="1" fillId="2" borderId="1" xfId="0" applyNumberFormat="1" applyFont="1" applyFill="1" applyBorder="1" applyAlignment="1">
      <alignment horizontal="center" wrapText="1"/>
    </xf>
    <xf numFmtId="168" fontId="2" fillId="0" borderId="1" xfId="0" applyNumberFormat="1" applyFont="1" applyBorder="1" applyAlignment="1">
      <alignment horizontal="right" wrapText="1"/>
    </xf>
    <xf numFmtId="168" fontId="2" fillId="3" borderId="1" xfId="0" applyNumberFormat="1" applyFont="1" applyFill="1" applyBorder="1" applyAlignment="1">
      <alignment horizontal="right" wrapText="1"/>
    </xf>
    <xf numFmtId="168" fontId="2" fillId="3" borderId="1" xfId="0" applyNumberFormat="1" applyFont="1" applyFill="1" applyBorder="1" applyAlignment="1">
      <alignment wrapText="1"/>
    </xf>
    <xf numFmtId="168" fontId="0" fillId="0" borderId="0" xfId="0" applyNumberFormat="1"/>
    <xf numFmtId="14" fontId="1" fillId="2" borderId="1" xfId="0" applyNumberFormat="1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  <xf numFmtId="14" fontId="0" fillId="0" borderId="0" xfId="0" applyNumberFormat="1"/>
    <xf numFmtId="169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2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topLeftCell="C1" workbookViewId="0">
      <selection activeCell="J9" sqref="J9"/>
    </sheetView>
  </sheetViews>
  <sheetFormatPr defaultRowHeight="14.5" x14ac:dyDescent="0.35"/>
  <cols>
    <col min="1" max="1" width="16.1796875" customWidth="1"/>
    <col min="2" max="2" width="19.81640625" style="14" customWidth="1"/>
    <col min="3" max="3" width="19.81640625" customWidth="1"/>
    <col min="4" max="4" width="18" customWidth="1"/>
    <col min="5" max="6" width="18.36328125" customWidth="1"/>
    <col min="7" max="7" width="14.54296875" style="11" customWidth="1"/>
    <col min="8" max="8" width="11.6328125" customWidth="1"/>
    <col min="9" max="9" width="15.26953125" customWidth="1"/>
    <col min="10" max="10" width="23.453125" customWidth="1"/>
  </cols>
  <sheetData>
    <row r="1" spans="1:13" ht="15" thickBot="1" x14ac:dyDescent="0.4">
      <c r="A1" s="1" t="s">
        <v>0</v>
      </c>
      <c r="B1" s="12" t="s">
        <v>97</v>
      </c>
      <c r="C1" s="1" t="s">
        <v>98</v>
      </c>
      <c r="D1" s="1" t="s">
        <v>1</v>
      </c>
      <c r="E1" s="1" t="s">
        <v>2</v>
      </c>
      <c r="F1" s="1" t="s">
        <v>99</v>
      </c>
      <c r="G1" s="7" t="s">
        <v>3</v>
      </c>
      <c r="H1" s="1" t="s">
        <v>4</v>
      </c>
      <c r="I1" s="1" t="s">
        <v>5</v>
      </c>
      <c r="J1" s="6" t="s">
        <v>96</v>
      </c>
    </row>
    <row r="2" spans="1:13" ht="15" thickBot="1" x14ac:dyDescent="0.4">
      <c r="A2" s="2" t="s">
        <v>6</v>
      </c>
      <c r="B2" s="15" t="str">
        <f>LEFT(A2,6)</f>
        <v>28-JAN</v>
      </c>
      <c r="C2" s="2" t="str">
        <f>RIGHT(A2,2)</f>
        <v>US</v>
      </c>
      <c r="D2" s="2" t="s">
        <v>7</v>
      </c>
      <c r="E2" s="2" t="s">
        <v>8</v>
      </c>
      <c r="F2" s="2" t="str">
        <f>J2&amp;"-"&amp;E2</f>
        <v>Laptop-Dell</v>
      </c>
      <c r="G2" s="8">
        <v>1000</v>
      </c>
      <c r="H2" s="3">
        <v>30</v>
      </c>
      <c r="I2" s="2" t="s">
        <v>9</v>
      </c>
      <c r="J2" t="str">
        <f>TRIM(PROPER(D2))</f>
        <v>Laptop</v>
      </c>
    </row>
    <row r="3" spans="1:13" ht="15" thickBot="1" x14ac:dyDescent="0.4">
      <c r="A3" s="4" t="s">
        <v>10</v>
      </c>
      <c r="B3" s="13" t="str">
        <f t="shared" ref="B3:B32" si="0">LEFT(A3,6)</f>
        <v>15-FEB</v>
      </c>
      <c r="C3" s="2" t="str">
        <f t="shared" ref="C3:C32" si="1">RIGHT(A3,2)</f>
        <v>US</v>
      </c>
      <c r="D3" s="4" t="s">
        <v>11</v>
      </c>
      <c r="E3" s="4" t="s">
        <v>12</v>
      </c>
      <c r="F3" s="2" t="str">
        <f t="shared" ref="F3:F32" si="2">J3&amp;"-"&amp;E3</f>
        <v>Sneakers-Nike</v>
      </c>
      <c r="G3" s="9">
        <v>80</v>
      </c>
      <c r="H3" s="5">
        <v>15</v>
      </c>
      <c r="I3" s="4" t="s">
        <v>13</v>
      </c>
      <c r="J3" t="str">
        <f>TRIM(PROPER(D3))</f>
        <v>Sneakers</v>
      </c>
      <c r="M3" t="str">
        <f>CLEAN(K3)</f>
        <v/>
      </c>
    </row>
    <row r="4" spans="1:13" ht="15" thickBot="1" x14ac:dyDescent="0.4">
      <c r="A4" s="2" t="s">
        <v>14</v>
      </c>
      <c r="B4" s="13" t="str">
        <f t="shared" si="0"/>
        <v>03-MAR</v>
      </c>
      <c r="C4" s="2" t="str">
        <f t="shared" si="1"/>
        <v>US</v>
      </c>
      <c r="D4" s="2" t="s">
        <v>15</v>
      </c>
      <c r="E4" s="2" t="s">
        <v>16</v>
      </c>
      <c r="F4" s="2" t="str">
        <f t="shared" si="2"/>
        <v>Coffee Maker-Keurig</v>
      </c>
      <c r="G4" s="8">
        <v>130</v>
      </c>
      <c r="H4" s="3">
        <v>40</v>
      </c>
      <c r="I4" s="2" t="s">
        <v>17</v>
      </c>
      <c r="J4" t="str">
        <f>TRIM(PROPER(D4))</f>
        <v>Coffee Maker</v>
      </c>
    </row>
    <row r="5" spans="1:13" ht="26.5" thickBot="1" x14ac:dyDescent="0.4">
      <c r="A5" s="4" t="s">
        <v>18</v>
      </c>
      <c r="B5" s="13" t="str">
        <f t="shared" si="0"/>
        <v>11-APR</v>
      </c>
      <c r="C5" s="2" t="str">
        <f t="shared" si="1"/>
        <v>US</v>
      </c>
      <c r="D5" s="4" t="s">
        <v>19</v>
      </c>
      <c r="E5" s="4" t="s">
        <v>20</v>
      </c>
      <c r="F5" s="2" t="str">
        <f t="shared" si="2"/>
        <v>Smartphone-Samsung</v>
      </c>
      <c r="G5" s="9">
        <v>900</v>
      </c>
      <c r="H5" s="5">
        <v>25</v>
      </c>
      <c r="I5" s="4" t="s">
        <v>9</v>
      </c>
      <c r="J5" t="str">
        <f>TRIM(PROPER(D5))</f>
        <v>Smartphone</v>
      </c>
    </row>
    <row r="6" spans="1:13" ht="15" thickBot="1" x14ac:dyDescent="0.4">
      <c r="A6" s="2" t="s">
        <v>21</v>
      </c>
      <c r="B6" s="13" t="str">
        <f t="shared" si="0"/>
        <v>22-MAY</v>
      </c>
      <c r="C6" s="2" t="str">
        <f t="shared" si="1"/>
        <v>US</v>
      </c>
      <c r="D6" s="2" t="s">
        <v>22</v>
      </c>
      <c r="E6" s="2" t="s">
        <v>23</v>
      </c>
      <c r="F6" s="2" t="str">
        <f t="shared" si="2"/>
        <v>Backpack-North Face</v>
      </c>
      <c r="G6" s="8">
        <v>70</v>
      </c>
      <c r="H6" s="3">
        <v>20</v>
      </c>
      <c r="I6" s="2" t="str">
        <f>"unknown"</f>
        <v>unknown</v>
      </c>
      <c r="J6" t="str">
        <f>TRIM(PROPER(D6))</f>
        <v>Backpack</v>
      </c>
    </row>
    <row r="7" spans="1:13" ht="15" thickBot="1" x14ac:dyDescent="0.4">
      <c r="A7" s="4" t="s">
        <v>24</v>
      </c>
      <c r="B7" s="13" t="str">
        <f t="shared" si="0"/>
        <v>07-JUN</v>
      </c>
      <c r="C7" s="2" t="str">
        <f t="shared" si="1"/>
        <v>UK</v>
      </c>
      <c r="D7" s="4" t="s">
        <v>25</v>
      </c>
      <c r="E7" s="4" t="s">
        <v>26</v>
      </c>
      <c r="F7" s="2" t="str">
        <f t="shared" si="2"/>
        <v>Headphones-Sony</v>
      </c>
      <c r="G7" s="10" t="str">
        <f>"unknown"</f>
        <v>unknown</v>
      </c>
      <c r="H7" s="5">
        <v>45</v>
      </c>
      <c r="I7" s="4" t="s">
        <v>9</v>
      </c>
      <c r="J7" t="str">
        <f>TRIM(PROPER(D7))</f>
        <v>Headphones</v>
      </c>
    </row>
    <row r="8" spans="1:13" ht="15" thickBot="1" x14ac:dyDescent="0.4">
      <c r="A8" s="2" t="s">
        <v>27</v>
      </c>
      <c r="B8" s="13" t="str">
        <f t="shared" si="0"/>
        <v>19-JUL</v>
      </c>
      <c r="C8" s="2" t="str">
        <f t="shared" si="1"/>
        <v>UK</v>
      </c>
      <c r="D8" s="2" t="s">
        <v>28</v>
      </c>
      <c r="E8" s="2" t="s">
        <v>29</v>
      </c>
      <c r="F8" s="2" t="str">
        <f t="shared" si="2"/>
        <v>T-Shirt-Adidas</v>
      </c>
      <c r="G8" s="8">
        <v>30</v>
      </c>
      <c r="H8" s="3">
        <v>5</v>
      </c>
      <c r="I8" s="2" t="s">
        <v>13</v>
      </c>
      <c r="J8" t="str">
        <f>TRIM(PROPER(D8))</f>
        <v>T-Shirt</v>
      </c>
    </row>
    <row r="9" spans="1:13" ht="15" thickBot="1" x14ac:dyDescent="0.4">
      <c r="A9" s="4" t="s">
        <v>30</v>
      </c>
      <c r="B9" s="13" t="str">
        <f t="shared" si="0"/>
        <v>23-AUG</v>
      </c>
      <c r="C9" s="2" t="str">
        <f t="shared" si="1"/>
        <v>UK</v>
      </c>
      <c r="D9" s="4" t="s">
        <v>31</v>
      </c>
      <c r="E9" s="4" t="s">
        <v>32</v>
      </c>
      <c r="F9" s="2" t="str">
        <f t="shared" si="2"/>
        <v>Blender-Ninja</v>
      </c>
      <c r="G9" s="9">
        <v>90</v>
      </c>
      <c r="H9" s="5">
        <v>35</v>
      </c>
      <c r="I9" s="4" t="s">
        <v>17</v>
      </c>
      <c r="J9" t="str">
        <f>TRIM(PROPER(D9))</f>
        <v>Blender</v>
      </c>
    </row>
    <row r="10" spans="1:13" ht="15" thickBot="1" x14ac:dyDescent="0.4">
      <c r="A10" s="2" t="s">
        <v>33</v>
      </c>
      <c r="B10" s="13" t="str">
        <f t="shared" si="0"/>
        <v>05-SEP</v>
      </c>
      <c r="C10" s="2" t="str">
        <f t="shared" si="1"/>
        <v>UK</v>
      </c>
      <c r="D10" s="2" t="s">
        <v>34</v>
      </c>
      <c r="E10" s="2" t="s">
        <v>35</v>
      </c>
      <c r="F10" s="2" t="str">
        <f t="shared" si="2"/>
        <v>Tablet-Apple</v>
      </c>
      <c r="G10" s="8">
        <v>500</v>
      </c>
      <c r="H10" s="3">
        <v>50</v>
      </c>
      <c r="I10" s="2" t="s">
        <v>9</v>
      </c>
      <c r="J10" t="str">
        <f>TRIM(PROPER(D10))</f>
        <v>Tablet</v>
      </c>
    </row>
    <row r="11" spans="1:13" ht="26.5" thickBot="1" x14ac:dyDescent="0.4">
      <c r="A11" s="4" t="s">
        <v>36</v>
      </c>
      <c r="B11" s="13" t="str">
        <f t="shared" si="0"/>
        <v>14-OCT</v>
      </c>
      <c r="C11" s="2" t="str">
        <f t="shared" si="1"/>
        <v>UK</v>
      </c>
      <c r="D11" s="4" t="s">
        <v>37</v>
      </c>
      <c r="E11" s="4" t="s">
        <v>38</v>
      </c>
      <c r="F11" s="2" t="str">
        <f t="shared" si="2"/>
        <v>Hiking Boots-Timberland</v>
      </c>
      <c r="G11" s="9">
        <v>130</v>
      </c>
      <c r="H11" s="5">
        <v>10</v>
      </c>
      <c r="I11" s="4" t="s">
        <v>39</v>
      </c>
      <c r="J11" t="str">
        <f>TRIM(PROPER(D11))</f>
        <v>Hiking Boots</v>
      </c>
    </row>
    <row r="12" spans="1:13" ht="15" thickBot="1" x14ac:dyDescent="0.4">
      <c r="A12" s="2" t="s">
        <v>40</v>
      </c>
      <c r="B12" s="13" t="str">
        <f t="shared" si="0"/>
        <v>17-JUN</v>
      </c>
      <c r="C12" s="2" t="str">
        <f t="shared" si="1"/>
        <v>IN</v>
      </c>
      <c r="D12" s="2" t="s">
        <v>41</v>
      </c>
      <c r="E12" s="2" t="s">
        <v>42</v>
      </c>
      <c r="F12" s="2" t="str">
        <f t="shared" si="2"/>
        <v>Laptop-HP</v>
      </c>
      <c r="G12" s="8">
        <v>950</v>
      </c>
      <c r="H12" s="3">
        <v>25</v>
      </c>
      <c r="I12" s="2" t="s">
        <v>9</v>
      </c>
      <c r="J12" t="str">
        <f>TRIM(PROPER(D12))</f>
        <v>Laptop</v>
      </c>
    </row>
    <row r="13" spans="1:13" ht="15" thickBot="1" x14ac:dyDescent="0.4">
      <c r="A13" s="4" t="s">
        <v>43</v>
      </c>
      <c r="B13" s="13" t="str">
        <f t="shared" si="0"/>
        <v>25-NOV</v>
      </c>
      <c r="C13" s="2" t="str">
        <f t="shared" si="1"/>
        <v>AU</v>
      </c>
      <c r="D13" s="4" t="s">
        <v>11</v>
      </c>
      <c r="E13" s="4" t="s">
        <v>29</v>
      </c>
      <c r="F13" s="2" t="str">
        <f t="shared" si="2"/>
        <v>Sneakers-Adidas</v>
      </c>
      <c r="G13" s="9">
        <v>90</v>
      </c>
      <c r="H13" s="5">
        <v>40</v>
      </c>
      <c r="I13" s="4" t="str">
        <f>"unknown"</f>
        <v>unknown</v>
      </c>
      <c r="J13" t="str">
        <f>TRIM(PROPER(D13))</f>
        <v>Sneakers</v>
      </c>
    </row>
    <row r="14" spans="1:13" ht="26.5" thickBot="1" x14ac:dyDescent="0.4">
      <c r="A14" s="2" t="s">
        <v>44</v>
      </c>
      <c r="B14" s="13" t="str">
        <f t="shared" si="0"/>
        <v>08-DEC</v>
      </c>
      <c r="C14" s="2" t="str">
        <f t="shared" si="1"/>
        <v>DE</v>
      </c>
      <c r="D14" s="2" t="s">
        <v>15</v>
      </c>
      <c r="E14" s="2" t="s">
        <v>45</v>
      </c>
      <c r="F14" s="2" t="str">
        <f t="shared" si="2"/>
        <v>Coffee Maker-Nespresso</v>
      </c>
      <c r="G14" s="8">
        <v>120</v>
      </c>
      <c r="H14" s="3">
        <v>35</v>
      </c>
      <c r="I14" s="2" t="str">
        <f>"unknown"</f>
        <v>unknown</v>
      </c>
      <c r="J14" t="str">
        <f>TRIM(PROPER(D14))</f>
        <v>Coffee Maker</v>
      </c>
    </row>
    <row r="15" spans="1:13" ht="15" thickBot="1" x14ac:dyDescent="0.4">
      <c r="A15" s="4" t="s">
        <v>46</v>
      </c>
      <c r="B15" s="13" t="str">
        <f t="shared" si="0"/>
        <v>18-FEB</v>
      </c>
      <c r="C15" s="2" t="str">
        <f t="shared" si="1"/>
        <v>CA</v>
      </c>
      <c r="D15" s="4" t="s">
        <v>47</v>
      </c>
      <c r="E15" s="4" t="s">
        <v>48</v>
      </c>
      <c r="F15" s="2" t="str">
        <f t="shared" si="2"/>
        <v>Smartwatch-Fitbit</v>
      </c>
      <c r="G15" s="9">
        <v>150</v>
      </c>
      <c r="H15" s="5">
        <v>15</v>
      </c>
      <c r="I15" s="4" t="s">
        <v>9</v>
      </c>
      <c r="J15" t="str">
        <f>TRIM(PROPER(D15))</f>
        <v>Smartwatch</v>
      </c>
    </row>
    <row r="16" spans="1:13" ht="15" thickBot="1" x14ac:dyDescent="0.4">
      <c r="A16" s="2" t="s">
        <v>49</v>
      </c>
      <c r="B16" s="13" t="str">
        <f t="shared" si="0"/>
        <v>16-APR</v>
      </c>
      <c r="C16" s="2" t="str">
        <f t="shared" si="1"/>
        <v>ES</v>
      </c>
      <c r="D16" s="2" t="s">
        <v>50</v>
      </c>
      <c r="E16" s="2" t="s">
        <v>51</v>
      </c>
      <c r="F16" s="2" t="str">
        <f t="shared" si="2"/>
        <v>Headphones-Bose</v>
      </c>
      <c r="G16" s="8">
        <v>250</v>
      </c>
      <c r="H16" s="3">
        <v>20</v>
      </c>
      <c r="I16" s="2" t="s">
        <v>9</v>
      </c>
      <c r="J16" t="str">
        <f>TRIM(PROPER(D16))</f>
        <v>Headphones</v>
      </c>
    </row>
    <row r="17" spans="1:10" ht="26.5" thickBot="1" x14ac:dyDescent="0.4">
      <c r="A17" s="4" t="s">
        <v>52</v>
      </c>
      <c r="B17" s="13" t="str">
        <f t="shared" si="0"/>
        <v>21-AUG</v>
      </c>
      <c r="C17" s="2" t="str">
        <f t="shared" si="1"/>
        <v>CA</v>
      </c>
      <c r="D17" s="4" t="s">
        <v>53</v>
      </c>
      <c r="E17" s="4" t="s">
        <v>54</v>
      </c>
      <c r="F17" s="2" t="str">
        <f t="shared" si="2"/>
        <v>Laptop Bag-Samsonite</v>
      </c>
      <c r="G17" s="9">
        <v>50</v>
      </c>
      <c r="H17" s="5">
        <v>35</v>
      </c>
      <c r="I17" s="4" t="s">
        <v>55</v>
      </c>
      <c r="J17" t="str">
        <f>TRIM(PROPER(D17))</f>
        <v>Laptop Bag</v>
      </c>
    </row>
    <row r="18" spans="1:10" ht="15" thickBot="1" x14ac:dyDescent="0.4">
      <c r="A18" s="2" t="s">
        <v>56</v>
      </c>
      <c r="B18" s="13" t="str">
        <f t="shared" si="0"/>
        <v>20-AUG</v>
      </c>
      <c r="C18" s="2" t="str">
        <f t="shared" si="1"/>
        <v>CN</v>
      </c>
      <c r="D18" s="2" t="s">
        <v>47</v>
      </c>
      <c r="E18" s="2" t="s">
        <v>57</v>
      </c>
      <c r="F18" s="2" t="str">
        <f t="shared" si="2"/>
        <v>Smartwatch-Huawei</v>
      </c>
      <c r="G18" s="8">
        <v>160</v>
      </c>
      <c r="H18" s="3">
        <v>15</v>
      </c>
      <c r="I18" s="2" t="s">
        <v>9</v>
      </c>
      <c r="J18" t="str">
        <f>TRIM(PROPER(D18))</f>
        <v>Smartwatch</v>
      </c>
    </row>
    <row r="19" spans="1:10" ht="15" thickBot="1" x14ac:dyDescent="0.4">
      <c r="A19" s="4" t="s">
        <v>58</v>
      </c>
      <c r="B19" s="13" t="str">
        <f t="shared" si="0"/>
        <v>27-JAN</v>
      </c>
      <c r="C19" s="2" t="str">
        <f t="shared" si="1"/>
        <v>IT</v>
      </c>
      <c r="D19" s="4" t="s">
        <v>7</v>
      </c>
      <c r="E19" s="4" t="s">
        <v>59</v>
      </c>
      <c r="F19" s="2" t="str">
        <f t="shared" si="2"/>
        <v>Laptop-Asus</v>
      </c>
      <c r="G19" s="9">
        <v>980</v>
      </c>
      <c r="H19" s="5">
        <v>10</v>
      </c>
      <c r="I19" s="4" t="s">
        <v>9</v>
      </c>
      <c r="J19" t="str">
        <f>TRIM(PROPER(D19))</f>
        <v>Laptop</v>
      </c>
    </row>
    <row r="20" spans="1:10" ht="15" thickBot="1" x14ac:dyDescent="0.4">
      <c r="A20" s="2" t="s">
        <v>60</v>
      </c>
      <c r="B20" s="13" t="str">
        <f t="shared" si="0"/>
        <v>01-MAR</v>
      </c>
      <c r="C20" s="2" t="str">
        <f t="shared" si="1"/>
        <v>UK</v>
      </c>
      <c r="D20" s="2" t="s">
        <v>61</v>
      </c>
      <c r="E20" s="2" t="s">
        <v>62</v>
      </c>
      <c r="F20" s="2" t="str">
        <f t="shared" si="2"/>
        <v>Sunglasses-Oakley</v>
      </c>
      <c r="G20" s="8">
        <v>150</v>
      </c>
      <c r="H20" s="3">
        <v>15</v>
      </c>
      <c r="I20" s="2" t="s">
        <v>13</v>
      </c>
      <c r="J20" t="str">
        <f>TRIM(PROPER(D20))</f>
        <v>Sunglasses</v>
      </c>
    </row>
    <row r="21" spans="1:10" ht="26.5" thickBot="1" x14ac:dyDescent="0.4">
      <c r="A21" s="4" t="s">
        <v>63</v>
      </c>
      <c r="B21" s="13" t="str">
        <f t="shared" si="0"/>
        <v>14-AUG</v>
      </c>
      <c r="C21" s="2" t="str">
        <f t="shared" si="1"/>
        <v>US</v>
      </c>
      <c r="D21" s="4" t="s">
        <v>64</v>
      </c>
      <c r="E21" s="4" t="s">
        <v>65</v>
      </c>
      <c r="F21" s="2" t="str">
        <f t="shared" si="2"/>
        <v>Camping Tent-Coleman</v>
      </c>
      <c r="G21" s="10" t="str">
        <f>"unknown"</f>
        <v>unknown</v>
      </c>
      <c r="H21" s="5">
        <v>10</v>
      </c>
      <c r="I21" s="4" t="s">
        <v>39</v>
      </c>
      <c r="J21" t="str">
        <f>TRIM(PROPER(D21))</f>
        <v>Camping Tent</v>
      </c>
    </row>
    <row r="22" spans="1:10" ht="15" thickBot="1" x14ac:dyDescent="0.4">
      <c r="A22" s="2" t="s">
        <v>66</v>
      </c>
      <c r="B22" s="13" t="str">
        <f t="shared" si="0"/>
        <v>14-MAY</v>
      </c>
      <c r="C22" s="2" t="str">
        <f t="shared" si="1"/>
        <v>RU</v>
      </c>
      <c r="D22" s="2" t="s">
        <v>67</v>
      </c>
      <c r="E22" s="2" t="s">
        <v>68</v>
      </c>
      <c r="F22" s="2" t="str">
        <f t="shared" si="2"/>
        <v>Camera-Nikon</v>
      </c>
      <c r="G22" s="8">
        <v>700</v>
      </c>
      <c r="H22" s="3">
        <v>50</v>
      </c>
      <c r="I22" s="2" t="s">
        <v>9</v>
      </c>
      <c r="J22" t="str">
        <f>TRIM(PROPER(D22))</f>
        <v>Camera</v>
      </c>
    </row>
    <row r="23" spans="1:10" ht="26.5" thickBot="1" x14ac:dyDescent="0.4">
      <c r="A23" s="4" t="s">
        <v>69</v>
      </c>
      <c r="B23" s="13" t="str">
        <f t="shared" si="0"/>
        <v>09-JAN</v>
      </c>
      <c r="C23" s="2" t="str">
        <f t="shared" si="1"/>
        <v>CA</v>
      </c>
      <c r="D23" s="4" t="s">
        <v>70</v>
      </c>
      <c r="E23" s="4" t="s">
        <v>71</v>
      </c>
      <c r="F23" s="2" t="str">
        <f t="shared" si="2"/>
        <v>Microwave-Panasonic</v>
      </c>
      <c r="G23" s="9">
        <v>80</v>
      </c>
      <c r="H23" s="5">
        <v>20</v>
      </c>
      <c r="I23" s="4" t="s">
        <v>17</v>
      </c>
      <c r="J23" t="str">
        <f>TRIM(PROPER(D23))</f>
        <v>Microwave</v>
      </c>
    </row>
    <row r="24" spans="1:10" ht="26.5" thickBot="1" x14ac:dyDescent="0.4">
      <c r="A24" s="2" t="s">
        <v>72</v>
      </c>
      <c r="B24" s="13" t="str">
        <f t="shared" si="0"/>
        <v>19-JUL</v>
      </c>
      <c r="C24" s="2" t="str">
        <f t="shared" si="1"/>
        <v>BR</v>
      </c>
      <c r="D24" s="2" t="s">
        <v>73</v>
      </c>
      <c r="E24" s="2" t="s">
        <v>74</v>
      </c>
      <c r="F24" s="2" t="str">
        <f t="shared" si="2"/>
        <v>Fitness Tracker-Xiaomi</v>
      </c>
      <c r="G24" s="8">
        <v>150</v>
      </c>
      <c r="H24" s="3">
        <v>30</v>
      </c>
      <c r="I24" s="2" t="str">
        <f>"unknown"</f>
        <v>unknown</v>
      </c>
      <c r="J24" t="str">
        <f>TRIM(PROPER(D24))</f>
        <v>Fitness Tracker</v>
      </c>
    </row>
    <row r="25" spans="1:10" ht="15" thickBot="1" x14ac:dyDescent="0.4">
      <c r="A25" s="2" t="s">
        <v>75</v>
      </c>
      <c r="B25" s="13" t="str">
        <f t="shared" si="0"/>
        <v>29-SEP</v>
      </c>
      <c r="C25" s="2" t="str">
        <f t="shared" si="1"/>
        <v>CA</v>
      </c>
      <c r="D25" s="2" t="s">
        <v>76</v>
      </c>
      <c r="E25" s="2" t="s">
        <v>77</v>
      </c>
      <c r="F25" s="2" t="str">
        <f t="shared" si="2"/>
        <v>Smartphone-Google</v>
      </c>
      <c r="G25" s="8">
        <v>800</v>
      </c>
      <c r="H25" s="3">
        <v>45</v>
      </c>
      <c r="I25" s="2" t="s">
        <v>9</v>
      </c>
      <c r="J25" t="str">
        <f>TRIM(PROPER(D25))</f>
        <v>Smartphone</v>
      </c>
    </row>
    <row r="26" spans="1:10" ht="15" thickBot="1" x14ac:dyDescent="0.4">
      <c r="A26" s="4" t="s">
        <v>78</v>
      </c>
      <c r="B26" s="13" t="str">
        <f t="shared" si="0"/>
        <v>03-JUN</v>
      </c>
      <c r="C26" s="2" t="str">
        <f t="shared" si="1"/>
        <v>CA</v>
      </c>
      <c r="D26" s="4" t="s">
        <v>61</v>
      </c>
      <c r="E26" s="4" t="s">
        <v>79</v>
      </c>
      <c r="F26" s="2" t="str">
        <f t="shared" si="2"/>
        <v>Sunglasses-Ray-Ban</v>
      </c>
      <c r="G26" s="10" t="str">
        <f>"unknown"</f>
        <v>unknown</v>
      </c>
      <c r="H26" s="5">
        <v>25</v>
      </c>
      <c r="I26" s="4" t="s">
        <v>13</v>
      </c>
      <c r="J26" t="str">
        <f>TRIM(PROPER(D26))</f>
        <v>Sunglasses</v>
      </c>
    </row>
    <row r="27" spans="1:10" ht="15" thickBot="1" x14ac:dyDescent="0.4">
      <c r="A27" s="2" t="s">
        <v>80</v>
      </c>
      <c r="B27" s="13" t="str">
        <f t="shared" si="0"/>
        <v>11-JUL</v>
      </c>
      <c r="C27" s="2" t="str">
        <f t="shared" si="1"/>
        <v>CA</v>
      </c>
      <c r="D27" s="2" t="s">
        <v>31</v>
      </c>
      <c r="E27" s="2" t="s">
        <v>81</v>
      </c>
      <c r="F27" s="2" t="str">
        <f t="shared" si="2"/>
        <v>Blender-Vitamix</v>
      </c>
      <c r="G27" s="8">
        <v>400</v>
      </c>
      <c r="H27" s="3">
        <v>40</v>
      </c>
      <c r="I27" s="2" t="s">
        <v>17</v>
      </c>
      <c r="J27" t="str">
        <f>TRIM(PROPER(D27))</f>
        <v>Blender</v>
      </c>
    </row>
    <row r="28" spans="1:10" ht="15" thickBot="1" x14ac:dyDescent="0.4">
      <c r="A28" s="2" t="s">
        <v>82</v>
      </c>
      <c r="B28" s="13" t="str">
        <f t="shared" si="0"/>
        <v>07-MAR</v>
      </c>
      <c r="C28" s="2" t="str">
        <f t="shared" si="1"/>
        <v>CA</v>
      </c>
      <c r="D28" s="2" t="s">
        <v>83</v>
      </c>
      <c r="E28" s="2" t="s">
        <v>84</v>
      </c>
      <c r="F28" s="2" t="str">
        <f t="shared" si="2"/>
        <v>Dress-Zara</v>
      </c>
      <c r="G28" s="8">
        <v>60</v>
      </c>
      <c r="H28" s="3">
        <v>30</v>
      </c>
      <c r="I28" s="2" t="s">
        <v>13</v>
      </c>
      <c r="J28" t="str">
        <f>TRIM(PROPER(D28))</f>
        <v>Dress</v>
      </c>
    </row>
    <row r="29" spans="1:10" ht="15" thickBot="1" x14ac:dyDescent="0.4">
      <c r="A29" s="4" t="s">
        <v>85</v>
      </c>
      <c r="B29" s="13" t="str">
        <f t="shared" si="0"/>
        <v>13-APR</v>
      </c>
      <c r="C29" s="2" t="str">
        <f t="shared" si="1"/>
        <v>CA</v>
      </c>
      <c r="D29" s="4" t="s">
        <v>86</v>
      </c>
      <c r="E29" s="4" t="s">
        <v>87</v>
      </c>
      <c r="F29" s="2" t="str">
        <f t="shared" si="2"/>
        <v>Toaster-Hamilton</v>
      </c>
      <c r="G29" s="9">
        <v>40</v>
      </c>
      <c r="H29" s="5">
        <v>10</v>
      </c>
      <c r="I29" s="4" t="s">
        <v>17</v>
      </c>
      <c r="J29" t="str">
        <f>TRIM(PROPER(D29))</f>
        <v>Toaster</v>
      </c>
    </row>
    <row r="30" spans="1:10" ht="26.5" thickBot="1" x14ac:dyDescent="0.4">
      <c r="A30" s="2" t="s">
        <v>88</v>
      </c>
      <c r="B30" s="13" t="str">
        <f t="shared" si="0"/>
        <v>24-MAY</v>
      </c>
      <c r="C30" s="2" t="str">
        <f t="shared" si="1"/>
        <v>CA</v>
      </c>
      <c r="D30" s="2" t="s">
        <v>73</v>
      </c>
      <c r="E30" s="2" t="s">
        <v>89</v>
      </c>
      <c r="F30" s="2" t="str">
        <f t="shared" si="2"/>
        <v>Fitness Tracker-Garmin</v>
      </c>
      <c r="G30" s="8">
        <v>130</v>
      </c>
      <c r="H30" s="3">
        <v>5</v>
      </c>
      <c r="I30" s="2" t="s">
        <v>9</v>
      </c>
      <c r="J30" t="str">
        <f>TRIM(PROPER(D30))</f>
        <v>Fitness Tracker</v>
      </c>
    </row>
    <row r="31" spans="1:10" ht="15" thickBot="1" x14ac:dyDescent="0.4">
      <c r="A31" s="4" t="s">
        <v>90</v>
      </c>
      <c r="B31" s="13" t="str">
        <f t="shared" si="0"/>
        <v>02-DEC</v>
      </c>
      <c r="C31" s="2" t="str">
        <f t="shared" si="1"/>
        <v>CA</v>
      </c>
      <c r="D31" s="4" t="s">
        <v>91</v>
      </c>
      <c r="E31" s="4" t="s">
        <v>92</v>
      </c>
      <c r="F31" s="2" t="str">
        <f t="shared" si="2"/>
        <v>Jeans-Levi's</v>
      </c>
      <c r="G31" s="9">
        <v>50</v>
      </c>
      <c r="H31" s="5">
        <v>50</v>
      </c>
      <c r="I31" s="4" t="s">
        <v>13</v>
      </c>
      <c r="J31" t="str">
        <f>TRIM(PROPER(D31))</f>
        <v>Jeans</v>
      </c>
    </row>
    <row r="32" spans="1:10" ht="15" thickBot="1" x14ac:dyDescent="0.4">
      <c r="A32" s="4" t="s">
        <v>93</v>
      </c>
      <c r="B32" s="13" t="str">
        <f t="shared" si="0"/>
        <v>09-JUL</v>
      </c>
      <c r="C32" s="2" t="str">
        <f t="shared" si="1"/>
        <v>FR</v>
      </c>
      <c r="D32" s="4" t="s">
        <v>94</v>
      </c>
      <c r="E32" s="4" t="s">
        <v>95</v>
      </c>
      <c r="F32" s="2" t="str">
        <f t="shared" si="2"/>
        <v>Watch-Casio</v>
      </c>
      <c r="G32" s="9">
        <v>100</v>
      </c>
      <c r="H32" s="5">
        <v>20</v>
      </c>
      <c r="I32" s="4" t="s">
        <v>55</v>
      </c>
      <c r="J32" t="str">
        <f>TRIM(PROPER(D32))</f>
        <v>Watch</v>
      </c>
    </row>
  </sheetData>
  <conditionalFormatting sqref="G1:G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{88764BAC-9E9B-49ED-ADBE-D6AE886CA872}</x14:id>
        </ext>
      </extLst>
    </cfRule>
  </conditionalFormatting>
  <conditionalFormatting sqref="I1:I1048576">
    <cfRule type="cellIs" dxfId="1" priority="1" operator="equal">
      <formula>$I$5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764BAC-9E9B-49ED-ADBE-D6AE886CA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2026-10-17T09:11:12Z</dcterms:created>
  <dcterms:modified xsi:type="dcterms:W3CDTF">2026-10-18T01:10:58Z</dcterms:modified>
</cp:coreProperties>
</file>